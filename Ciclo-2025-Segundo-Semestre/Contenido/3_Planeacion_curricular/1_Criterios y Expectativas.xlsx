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HERMAN_IGOR_VELIZ_LINAR" sheetId="1" r:id="rId4"/>
    <sheet state="visible" name="Docente_JOSE_ANIBAL_SILVA_DE_LO" sheetId="2" r:id="rId5"/>
    <sheet state="visible" name="Docente_WILLIAM_ESTUARDO_ESCOBA" sheetId="3" r:id="rId6"/>
    <sheet state="visible" name="UNIFICADO" sheetId="4" r:id="rId7"/>
  </sheets>
  <definedNames/>
  <calcPr/>
  <extLst>
    <ext uri="GoogleSheetsCustomDataVersion2">
      <go:sheetsCustomData xmlns:go="http://customooxmlschemas.google.com/" r:id="rId8" roundtripDataChecksum="VaSlWR+dxaB5eXkbGITOV8Ei+Eb080jwXOWn4kU3MtY="/>
    </ext>
  </extLst>
</workbook>
</file>

<file path=xl/sharedStrings.xml><?xml version="1.0" encoding="utf-8"?>
<sst xmlns="http://schemas.openxmlformats.org/spreadsheetml/2006/main" count="171" uniqueCount="72">
  <si>
    <t>Criterios y Expectativas para el Primer Semestre 2026</t>
  </si>
  <si>
    <t>Nombre del Curso</t>
  </si>
  <si>
    <t>Programacion de Computadoras 2</t>
  </si>
  <si>
    <t>Codigo del Curso</t>
  </si>
  <si>
    <t>Docente</t>
  </si>
  <si>
    <t>HERMAN IGOR VELIZ LINARES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</si>
  <si>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</si>
  <si>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</si>
  <si>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</si>
  <si>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</si>
  <si>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Usar Visual Basic .Net así como también la base de datos MySQL y más adelante Python básico</t>
  </si>
  <si>
    <t>Mencione alguna herramienta o simulador que recomendaría incluir. ¿En qué parte del curso se aplicaría y por qué sería útil para el estudiante?</t>
  </si>
  <si>
    <t xml:space="preserve">Uso del lenguaje de Programación Visual Basic .Net, la Base de Datos MySql. Se aplicaría para el desarrollo de un sistema informático para resolver un determinado problema 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</si>
  <si>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</si>
  <si>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</si>
  <si>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</si>
  <si>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</si>
  <si>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</si>
  <si>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</si>
  <si>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</si>
  <si>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Comprensión del uso de controles en el diseñador de Visual Studio y su conexión con la lógica de programación, asi como la implementación de un motor de base de datos</t>
  </si>
  <si>
    <t>Proyectos</t>
  </si>
  <si>
    <t>Evaluar los conocimientos impartidos en la clase y laboratorio.</t>
  </si>
  <si>
    <t>Prácticas</t>
  </si>
  <si>
    <t>Tareas</t>
  </si>
  <si>
    <t>Evaluar periodicamente los conocimientos impartidos en la clase y laboratorio del curso.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</si>
  <si>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</si>
  <si>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</si>
  <si>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</si>
  <si>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</si>
  <si>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Complementa el aprendizaje en el Manejo de un lenguaje de programación aplicando los conocimientos básicos impartidos en la clase magistral así como tambíen en el laboratorio</t>
  </si>
  <si>
    <t>¿Qué funciones, actitudes o conocimientos espera que tenga el tutor para contribuir a una experiencia formativa efectiva en el laboratorio?</t>
  </si>
  <si>
    <t>Actitud de compromiso en el aparendizaje del estudiante para que este desarrolle sus habilidades de análisis y desarrollo de programas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</si>
  <si>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</si>
  <si>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</si>
  <si>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Desarrolla</t>
  </si>
  <si>
    <t>Programas</t>
  </si>
  <si>
    <t>Usando Visual Basic .NET y la Base de datos MySQL</t>
  </si>
  <si>
    <t>para programar código limpio y poder resolver un problema específico</t>
  </si>
  <si>
    <t>....</t>
  </si>
  <si>
    <r>
      <rPr>
        <rFont val="Arial"/>
        <color rgb="FFB7B7B7"/>
      </rPr>
      <t xml:space="preserve">Ejemplos. </t>
    </r>
    <r>
      <rPr>
        <rFont val="Arial"/>
        <color rgb="FF1155CC"/>
        <u/>
      </rPr>
      <t>https://drive.google.com/drive/folders/1szLcpzkwozPD6nD4uuaiZQ3mmDRuVKVy?usp=sharing</t>
    </r>
  </si>
  <si>
    <t>JOSE ANIBAL SILVA DE LOS ANGELES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</si>
  <si>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</si>
  <si>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</si>
  <si>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</si>
  <si>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</si>
  <si>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Ejemplos. https://drive.google.com/drive/folders/1szLcpzkwozPD6nD4uuaiZQ3mmDRuVKVy?usp=sharing</t>
  </si>
  <si>
    <t>WILLIAM ESTUARDO ESCOBAR ARGUETA</t>
  </si>
  <si>
    <t>Usar Visual Basic .Net así como también la base de datos MariaDB,</t>
  </si>
  <si>
    <t>Curso de Visual Basic de MSDN, o del ricon del Guille.</t>
  </si>
  <si>
    <t>Desde la parte practica, ya que en 50 minutos no se logra terminar de ver todos los fundamentos y llevarlos a la practica.</t>
  </si>
  <si>
    <t>La capacidad de guiar al estudiante en el desarrollo de su propio análisis y en la depuración de código, en lugar de simplemente proporcionar la solución directa, fomentando así su autonomía.</t>
  </si>
  <si>
    <t>El estudiante debe desarrollar la capacidad de analizar un problema, diseñarle una solución lógica (algoritmo) y traducirla a código funcional y eficiente. Esta competencia es crucial, ya que le enseña a estructurar su pensamiento y a crear soluciones tecnológicas desde cero, una habilidad fundamental en su formación profesional.</t>
  </si>
  <si>
    <t>Soluciónes de software funcionales</t>
  </si>
  <si>
    <t>Utilizando el lenguaje de programacion Visual Basic</t>
  </si>
  <si>
    <t xml:space="preserve">para resolver problemas definidos y aplicando buenas practicas de codificación. </t>
  </si>
  <si>
    <t>UNIFICADO</t>
  </si>
  <si>
    <t>curso</t>
  </si>
  <si>
    <t>https://www.netacad.com/courses/python-essentials-1?courseLang=en-US</t>
  </si>
  <si>
    <t xml:space="preserve">Visual Basic .NET: </t>
  </si>
  <si>
    <t>estructuras de control, procedimientos/funciones, manejo de eventos, controles GUI (TextBox, Label, ComboBox, RadioButton, CheckBox), vectores y matrices.</t>
  </si>
  <si>
    <r>
      <rPr>
        <rFont val="Arial"/>
        <b/>
      </rPr>
      <t xml:space="preserve">MySQL con </t>
    </r>
    <r>
      <rPr>
        <rFont val="Arial"/>
        <b/>
        <color rgb="FF1155CC"/>
        <u/>
      </rPr>
      <t>ADO.NET</t>
    </r>
  </si>
  <si>
    <t>conexión, consultas parametrizadas, CRUD y visualización con DataGridView.</t>
  </si>
  <si>
    <t>Python</t>
  </si>
  <si>
    <t>scripting simple y nociones de automatización</t>
  </si>
  <si>
    <t xml:space="preserve">
Proyecto Fase 1: VB.NET + WinForms, controles GUI, estructuras de control.
Prácticas: resolución de problemas, refuerzo de estructuras y GUI, buenas prácticas de almacenamiento/manipulación de datos.
</t>
  </si>
  <si>
    <r>
      <rPr>
        <rFont val="Arial"/>
        <b/>
      </rPr>
      <t xml:space="preserve">MySQL con </t>
    </r>
    <r>
      <rPr>
        <rFont val="Arial"/>
        <b/>
        <color rgb="FF1155CC"/>
        <u/>
      </rPr>
      <t>ADO.NET</t>
    </r>
  </si>
  <si>
    <t>Proyecto Fase 2: VB.NET + ADO.NET + MySQL, CRUD, vectores/matrices, ordenamiento, consultas y DataGridView.</t>
  </si>
  <si>
    <t xml:space="preserve">
Tareas: investigación guiada, programas incrementales, instalación de herramientas.</t>
  </si>
  <si>
    <t>El laboratorio aterriza la teoría en proyectos y ejercicios guiados: desde estructuras de control y GUI en VB.NET hasta la integración con MySQL usando ADO.NET, reforzando pensamiento lógico, modelado simple de datos y construcción de aplicaciones con interfaz.</t>
  </si>
  <si>
    <t>Dominio técnico en VB.NET (WinForms), ADO.NET, MySQL; guía básica en Python.
Acompañamiento pedagógico: actitud de compromiso con el aprendizaje, apoyo cercano, feedback claro y oportuno.</t>
  </si>
  <si>
    <t>El estudiante diseña e implementa aplicaciones de escritorio en VB.NET con interfaces gráficas funcionales, integra MySQL mediante ADO.NET para ejecutar operaciones CRUD y consultas, aplica estructuras de control y estructuras de datos, documenta sus soluciones y adopta buenas prácticas en el uso responsable de herramientas y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</si>
</sst>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theme="8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u/>
      <color rgb="FFB7B7B7"/>
      <name val="Arial"/>
    </font>
    <font>
      <color rgb="FFB7B7B7"/>
      <name val="Arial"/>
    </font>
    <font>
      <b/>
      <sz val="12.0"/>
      <color rgb="FFFF6D01"/>
      <name val="Arial"/>
    </font>
    <font>
      <b/>
      <sz val="12.0"/>
      <color rgb="FF4285F4"/>
      <name val="Arial"/>
    </font>
    <font>
      <b/>
      <color rgb="FF4285F4"/>
      <name val="Arial"/>
    </font>
    <font>
      <u/>
      <color rgb="FF0000FF"/>
      <name val="Arial"/>
    </font>
    <font>
      <b/>
      <color theme="1"/>
      <name val="Arial"/>
    </font>
    <font>
      <b/>
      <u/>
      <color rgb="FF0000FF"/>
      <name val="Arial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3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434343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7" numFmtId="0" xfId="0" applyFont="1"/>
    <xf borderId="1" fillId="2" fontId="3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3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0" fillId="3" fontId="2" numFmtId="0" xfId="0" applyAlignment="1" applyBorder="1" applyFill="1" applyFont="1">
      <alignment shrinkToFit="0" wrapText="1"/>
    </xf>
    <xf borderId="1" fillId="3" fontId="2" numFmtId="0" xfId="0" applyAlignment="1" applyBorder="1" applyFont="1">
      <alignment shrinkToFit="0" wrapText="1"/>
    </xf>
    <xf borderId="10" fillId="0" fontId="9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0" fillId="0" fontId="9" numFmtId="0" xfId="0" applyBorder="1" applyFont="1"/>
    <xf borderId="11" fillId="0" fontId="9" numFmtId="0" xfId="0" applyBorder="1" applyFont="1"/>
    <xf borderId="11" fillId="0" fontId="3" numFmtId="0" xfId="0" applyAlignment="1" applyBorder="1" applyFont="1">
      <alignment readingOrder="0"/>
    </xf>
    <xf borderId="12" fillId="4" fontId="2" numFmtId="0" xfId="0" applyAlignment="1" applyBorder="1" applyFill="1" applyFont="1">
      <alignment shrinkToFit="0" wrapText="1"/>
    </xf>
    <xf borderId="12" fillId="4" fontId="3" numFmtId="0" xfId="0" applyBorder="1" applyFont="1"/>
    <xf borderId="4" fillId="2" fontId="3" numFmtId="0" xfId="0" applyAlignment="1" applyBorder="1" applyFont="1">
      <alignment shrinkToFit="0" wrapText="1"/>
    </xf>
    <xf borderId="13" fillId="0" fontId="10" numFmtId="0" xfId="0" applyAlignment="1" applyBorder="1" applyFont="1">
      <alignment horizontal="center" vertical="bottom"/>
    </xf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2" fontId="11" numFmtId="0" xfId="0" applyAlignment="1" applyBorder="1" applyFont="1">
      <alignment horizontal="left" vertical="bottom"/>
    </xf>
    <xf borderId="20" fillId="0" fontId="8" numFmtId="0" xfId="0" applyBorder="1" applyFont="1"/>
    <xf borderId="21" fillId="0" fontId="8" numFmtId="0" xfId="0" applyBorder="1" applyFont="1"/>
    <xf borderId="12" fillId="5" fontId="12" numFmtId="0" xfId="0" applyAlignment="1" applyBorder="1" applyFill="1" applyFont="1">
      <alignment horizontal="center" readingOrder="0" vertical="bottom"/>
    </xf>
    <xf borderId="19" fillId="5" fontId="12" numFmtId="0" xfId="0" applyAlignment="1" applyBorder="1" applyFont="1">
      <alignment horizontal="center" readingOrder="0" vertical="bottom"/>
    </xf>
    <xf borderId="12" fillId="5" fontId="12" numFmtId="0" xfId="0" applyAlignment="1" applyBorder="1" applyFont="1">
      <alignment horizontal="center" readingOrder="0" shrinkToFit="0" vertical="bottom" wrapText="1"/>
    </xf>
    <xf borderId="19" fillId="5" fontId="12" numFmtId="0" xfId="0" applyAlignment="1" applyBorder="1" applyFont="1">
      <alignment horizontal="center" readingOrder="0" shrinkToFit="0" vertical="bottom" wrapText="1"/>
    </xf>
    <xf borderId="12" fillId="6" fontId="3" numFmtId="0" xfId="0" applyAlignment="1" applyBorder="1" applyFill="1" applyFont="1">
      <alignment shrinkToFit="0" vertical="bottom" wrapText="1"/>
    </xf>
    <xf borderId="19" fillId="7" fontId="3" numFmtId="0" xfId="0" applyAlignment="1" applyBorder="1" applyFill="1" applyFont="1">
      <alignment shrinkToFit="0" vertical="bottom" wrapText="1"/>
    </xf>
    <xf borderId="12" fillId="8" fontId="3" numFmtId="0" xfId="0" applyAlignment="1" applyBorder="1" applyFill="1" applyFont="1">
      <alignment shrinkToFit="0" vertical="bottom" wrapText="1"/>
    </xf>
    <xf borderId="19" fillId="9" fontId="3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  <xf borderId="4" fillId="0" fontId="3" numFmtId="0" xfId="0" applyBorder="1" applyFont="1"/>
    <xf borderId="10" fillId="0" fontId="3" numFmtId="0" xfId="0" applyBorder="1" applyFont="1"/>
    <xf borderId="1" fillId="0" fontId="3" numFmtId="0" xfId="0" applyAlignment="1" applyBorder="1" applyFont="1">
      <alignment shrinkToFit="0" wrapText="1"/>
    </xf>
    <xf borderId="11" fillId="0" fontId="3" numFmtId="0" xfId="0" applyBorder="1" applyFont="1"/>
    <xf borderId="12" fillId="5" fontId="12" numFmtId="0" xfId="0" applyAlignment="1" applyBorder="1" applyFont="1">
      <alignment horizontal="center" vertical="bottom"/>
    </xf>
    <xf borderId="19" fillId="5" fontId="12" numFmtId="0" xfId="0" applyAlignment="1" applyBorder="1" applyFont="1">
      <alignment horizontal="center" vertical="bottom"/>
    </xf>
    <xf borderId="12" fillId="5" fontId="12" numFmtId="0" xfId="0" applyAlignment="1" applyBorder="1" applyFont="1">
      <alignment horizontal="center" shrinkToFit="0" vertical="bottom" wrapText="1"/>
    </xf>
    <xf borderId="19" fillId="5" fontId="12" numFmtId="0" xfId="0" applyAlignment="1" applyBorder="1" applyFont="1">
      <alignment horizontal="center" shrinkToFit="0" vertical="bottom" wrapText="1"/>
    </xf>
    <xf borderId="0" fillId="0" fontId="14" numFmtId="0" xfId="0" applyFont="1"/>
    <xf borderId="13" fillId="0" fontId="10" numFmtId="0" xfId="0" applyAlignment="1" applyBorder="1" applyFont="1">
      <alignment horizontal="center" readingOrder="0" vertical="bottom"/>
    </xf>
    <xf borderId="12" fillId="6" fontId="3" numFmtId="0" xfId="0" applyAlignment="1" applyBorder="1" applyFont="1">
      <alignment readingOrder="0" shrinkToFit="0" vertical="bottom" wrapText="1"/>
    </xf>
    <xf borderId="19" fillId="7" fontId="3" numFmtId="0" xfId="0" applyAlignment="1" applyBorder="1" applyFont="1">
      <alignment readingOrder="0" shrinkToFit="0" vertical="bottom" wrapText="1"/>
    </xf>
    <xf borderId="12" fillId="8" fontId="3" numFmtId="0" xfId="0" applyAlignment="1" applyBorder="1" applyFont="1">
      <alignment readingOrder="0" shrinkToFit="0" vertical="bottom" wrapText="1"/>
    </xf>
    <xf borderId="19" fillId="9" fontId="3" numFmtId="0" xfId="0" applyAlignment="1" applyBorder="1" applyFont="1">
      <alignment readingOrder="0" shrinkToFit="0" vertical="bottom" wrapText="1"/>
    </xf>
    <xf borderId="0" fillId="0" fontId="1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7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4" fillId="2" fontId="3" numFmtId="0" xfId="0" applyAlignment="1" applyBorder="1" applyFont="1">
      <alignment shrinkToFit="0" vertical="bottom" wrapText="1"/>
    </xf>
    <xf borderId="12" fillId="0" fontId="19" numFmtId="0" xfId="0" applyAlignment="1" applyBorder="1" applyFont="1">
      <alignment readingOrder="0" vertical="bottom"/>
    </xf>
    <xf borderId="19" fillId="0" fontId="3" numFmtId="0" xfId="0" applyAlignment="1" applyBorder="1" applyFont="1">
      <alignment readingOrder="0" shrinkToFit="0" vertical="bottom" wrapText="1"/>
    </xf>
    <xf borderId="12" fillId="0" fontId="20" numFmtId="0" xfId="0" applyAlignment="1" applyBorder="1" applyFont="1">
      <alignment readingOrder="0" vertical="bottom"/>
    </xf>
    <xf borderId="22" fillId="0" fontId="8" numFmtId="0" xfId="0" applyBorder="1" applyFont="1"/>
    <xf borderId="1" fillId="2" fontId="3" numFmtId="0" xfId="0" applyAlignment="1" applyBorder="1" applyFont="1">
      <alignment shrinkToFit="0" vertical="bottom" wrapText="1"/>
    </xf>
    <xf borderId="0" fillId="0" fontId="3" numFmtId="9" xfId="0" applyAlignment="1" applyFont="1" applyNumberFormat="1">
      <alignment vertical="bottom"/>
    </xf>
    <xf borderId="10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shrinkToFit="0" vertical="bottom" wrapText="1"/>
    </xf>
    <xf borderId="10" fillId="0" fontId="2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0" fillId="0" fontId="2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1" fillId="0" fontId="21" numFmtId="0" xfId="0" applyAlignment="1" applyBorder="1" applyFont="1">
      <alignment vertical="bottom"/>
    </xf>
    <xf borderId="12" fillId="4" fontId="2" numFmtId="0" xfId="0" applyAlignment="1" applyBorder="1" applyFont="1">
      <alignment shrinkToFit="0" vertical="bottom" wrapText="1"/>
    </xf>
    <xf borderId="0" fillId="0" fontId="16" numFmtId="0" xfId="0" applyAlignment="1" applyFont="1">
      <alignment vertical="bottom"/>
    </xf>
    <xf borderId="4" fillId="0" fontId="3" numFmtId="0" xfId="0" applyAlignment="1" applyBorder="1" applyFont="1">
      <alignment readingOrder="0" shrinkToFit="0" vertical="bottom" wrapText="1"/>
    </xf>
    <xf borderId="13" fillId="0" fontId="11" numFmtId="0" xfId="0" applyAlignment="1" applyBorder="1" applyFont="1">
      <alignment horizontal="center" readingOrder="0" shrinkToFit="0" vertical="bottom" wrapText="1"/>
    </xf>
    <xf borderId="19" fillId="2" fontId="11" numFmtId="0" xfId="0" applyAlignment="1" applyBorder="1" applyFont="1">
      <alignment horizontal="center" vertical="bottom"/>
    </xf>
    <xf borderId="19" fillId="5" fontId="12" numFmtId="0" xfId="0" applyAlignment="1" applyBorder="1" applyFont="1">
      <alignment horizontal="center" vertical="bottom"/>
    </xf>
    <xf borderId="12" fillId="5" fontId="12" numFmtId="0" xfId="0" applyAlignment="1" applyBorder="1" applyFont="1">
      <alignment horizontal="center" shrinkToFit="0" vertical="bottom" wrapText="1"/>
    </xf>
    <xf borderId="19" fillId="5" fontId="12" numFmtId="0" xfId="0" applyAlignment="1" applyBorder="1" applyFont="1">
      <alignment horizontal="center" shrinkToFit="0" vertical="bottom" wrapText="1"/>
    </xf>
    <xf borderId="12" fillId="6" fontId="3" numFmtId="0" xfId="0" applyAlignment="1" applyBorder="1" applyFont="1">
      <alignment shrinkToFit="0" vertical="bottom" wrapText="1"/>
    </xf>
    <xf borderId="19" fillId="7" fontId="3" numFmtId="0" xfId="0" applyAlignment="1" applyBorder="1" applyFont="1">
      <alignment vertical="bottom"/>
    </xf>
    <xf borderId="12" fillId="8" fontId="3" numFmtId="0" xfId="0" applyAlignment="1" applyBorder="1" applyFont="1">
      <alignment vertical="bottom"/>
    </xf>
    <xf borderId="19" fillId="9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tacad.com/courses/python-essentials-1?courseLang=en-US" TargetMode="External"/><Relationship Id="rId2" Type="http://schemas.openxmlformats.org/officeDocument/2006/relationships/hyperlink" Target="http://ado.net/" TargetMode="External"/><Relationship Id="rId3" Type="http://schemas.openxmlformats.org/officeDocument/2006/relationships/hyperlink" Target="http://ado.net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  <col customWidth="1" min="4" max="6" width="12.63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>
        <v>92.0</v>
      </c>
    </row>
    <row r="5" ht="15.75" customHeight="1">
      <c r="B5" s="2" t="s">
        <v>4</v>
      </c>
      <c r="C5" s="5" t="s">
        <v>5</v>
      </c>
    </row>
    <row r="6" ht="15.75" customHeight="1"/>
    <row r="7" ht="15.75" customHeight="1">
      <c r="B7" s="6" t="s">
        <v>6</v>
      </c>
    </row>
    <row r="8" ht="15.75" customHeight="1">
      <c r="B8" s="7" t="s">
        <v>7</v>
      </c>
    </row>
    <row r="9" ht="15.75" customHeight="1"/>
    <row r="10" ht="15.75" customHeight="1">
      <c r="B10" s="8" t="s">
        <v>8</v>
      </c>
    </row>
    <row r="11" ht="15.75" customHeight="1"/>
    <row r="12" ht="15.75" customHeight="1">
      <c r="B12" s="9" t="s">
        <v>9</v>
      </c>
      <c r="C12" s="10"/>
      <c r="D12" s="10"/>
      <c r="E12" s="10"/>
      <c r="F12" s="10"/>
      <c r="G12" s="11"/>
    </row>
    <row r="13" ht="15.75" customHeight="1">
      <c r="B13" s="12" t="s">
        <v>10</v>
      </c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5" ht="15.75" customHeight="1"/>
    <row r="16" ht="33.0" customHeight="1">
      <c r="B16" s="9" t="s">
        <v>11</v>
      </c>
      <c r="C16" s="10"/>
      <c r="D16" s="10"/>
      <c r="E16" s="10"/>
      <c r="F16" s="10"/>
      <c r="G16" s="11"/>
    </row>
    <row r="17" ht="15.75" customHeight="1">
      <c r="B17" s="12" t="s">
        <v>12</v>
      </c>
      <c r="C17" s="13"/>
      <c r="D17" s="13"/>
      <c r="E17" s="13"/>
      <c r="F17" s="13"/>
      <c r="G17" s="14"/>
    </row>
    <row r="18" ht="15.75" customHeight="1">
      <c r="B18" s="15"/>
      <c r="C18" s="16"/>
      <c r="D18" s="16"/>
      <c r="E18" s="16"/>
      <c r="F18" s="16"/>
      <c r="G18" s="17"/>
    </row>
    <row r="19" ht="15.75" customHeight="1"/>
    <row r="20" ht="15.75" customHeight="1">
      <c r="B20" s="8" t="s">
        <v>13</v>
      </c>
    </row>
    <row r="21" ht="15.75" customHeight="1">
      <c r="B21" s="7" t="s">
        <v>14</v>
      </c>
    </row>
    <row r="22" ht="15.75" customHeight="1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75" customHeight="1">
      <c r="A23" s="18"/>
      <c r="B23" s="20" t="s">
        <v>15</v>
      </c>
      <c r="C23" s="20" t="s">
        <v>16</v>
      </c>
      <c r="D23" s="20" t="s">
        <v>17</v>
      </c>
      <c r="E23" s="21" t="s">
        <v>18</v>
      </c>
      <c r="F23" s="10"/>
      <c r="G23" s="1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75" customHeight="1">
      <c r="B24" s="22" t="s">
        <v>19</v>
      </c>
      <c r="C24" s="23">
        <v>45.0</v>
      </c>
      <c r="D24" s="23">
        <v>8.0</v>
      </c>
      <c r="E24" s="24" t="s">
        <v>20</v>
      </c>
      <c r="F24" s="10"/>
      <c r="G24" s="11"/>
    </row>
    <row r="25" ht="45.0" customHeight="1">
      <c r="B25" s="25" t="s">
        <v>21</v>
      </c>
      <c r="C25" s="23">
        <v>25.0</v>
      </c>
      <c r="D25" s="23">
        <v>1.0</v>
      </c>
      <c r="E25" s="24" t="s">
        <v>22</v>
      </c>
      <c r="F25" s="10"/>
      <c r="G25" s="11"/>
    </row>
    <row r="26" ht="36.75" customHeight="1">
      <c r="B26" s="25" t="s">
        <v>23</v>
      </c>
      <c r="C26" s="23">
        <v>15.0</v>
      </c>
      <c r="D26" s="23">
        <v>1.0</v>
      </c>
      <c r="E26" s="24" t="s">
        <v>22</v>
      </c>
      <c r="F26" s="10"/>
      <c r="G26" s="11"/>
    </row>
    <row r="27" ht="36.0" customHeight="1">
      <c r="B27" s="26" t="s">
        <v>24</v>
      </c>
      <c r="C27" s="27">
        <v>15.0</v>
      </c>
      <c r="D27" s="23">
        <v>5.0</v>
      </c>
      <c r="E27" s="24" t="s">
        <v>25</v>
      </c>
      <c r="F27" s="10"/>
      <c r="G27" s="11"/>
    </row>
    <row r="28" ht="15.75" customHeight="1">
      <c r="B28" s="28" t="s">
        <v>26</v>
      </c>
      <c r="C28" s="29">
        <f>SUM(C24:C27)</f>
        <v>100</v>
      </c>
    </row>
    <row r="29" ht="15.75" customHeight="1">
      <c r="B29" s="2"/>
    </row>
    <row r="30" ht="15.75" customHeight="1">
      <c r="B30" s="6" t="s">
        <v>27</v>
      </c>
    </row>
    <row r="31" ht="15.75" customHeight="1">
      <c r="B31" s="7" t="s">
        <v>28</v>
      </c>
    </row>
    <row r="32" ht="15.75" customHeight="1"/>
    <row r="33" ht="15.75" customHeight="1">
      <c r="B33" s="9" t="s">
        <v>29</v>
      </c>
      <c r="C33" s="10"/>
      <c r="D33" s="10"/>
      <c r="E33" s="10"/>
      <c r="F33" s="10"/>
      <c r="G33" s="11"/>
    </row>
    <row r="34" ht="15.75" customHeight="1">
      <c r="B34" s="12" t="s">
        <v>30</v>
      </c>
      <c r="C34" s="13"/>
      <c r="D34" s="13"/>
      <c r="E34" s="13"/>
      <c r="F34" s="13"/>
      <c r="G34" s="14"/>
    </row>
    <row r="35" ht="15.75" customHeight="1">
      <c r="B35" s="15"/>
      <c r="C35" s="16"/>
      <c r="D35" s="16"/>
      <c r="E35" s="16"/>
      <c r="F35" s="16"/>
      <c r="G35" s="17"/>
    </row>
    <row r="36" ht="15.75" customHeight="1"/>
    <row r="37" ht="15.75" customHeight="1">
      <c r="B37" s="9" t="s">
        <v>31</v>
      </c>
      <c r="C37" s="10"/>
      <c r="D37" s="10"/>
      <c r="E37" s="10"/>
      <c r="F37" s="10"/>
      <c r="G37" s="11"/>
    </row>
    <row r="38" ht="15.75" customHeight="1">
      <c r="B38" s="12" t="s">
        <v>32</v>
      </c>
      <c r="C38" s="13"/>
      <c r="D38" s="13"/>
      <c r="E38" s="13"/>
      <c r="F38" s="13"/>
      <c r="G38" s="14"/>
    </row>
    <row r="39" ht="15.75" customHeight="1">
      <c r="B39" s="15"/>
      <c r="C39" s="16"/>
      <c r="D39" s="16"/>
      <c r="E39" s="16"/>
      <c r="F39" s="16"/>
      <c r="G39" s="17"/>
    </row>
    <row r="40" ht="15.75" customHeight="1"/>
    <row r="41" ht="15.75" customHeight="1">
      <c r="B41" s="30" t="s">
        <v>33</v>
      </c>
      <c r="C41" s="13"/>
      <c r="D41" s="13"/>
      <c r="E41" s="13"/>
      <c r="F41" s="13"/>
      <c r="G41" s="14"/>
    </row>
    <row r="42" ht="15.75" customHeight="1">
      <c r="B42" s="31" t="s">
        <v>34</v>
      </c>
      <c r="C42" s="32"/>
      <c r="D42" s="32"/>
      <c r="E42" s="32"/>
      <c r="F42" s="32"/>
      <c r="G42" s="33"/>
    </row>
    <row r="43" ht="15.75" customHeight="1">
      <c r="B43" s="34"/>
      <c r="C43" s="35"/>
      <c r="D43" s="35"/>
      <c r="E43" s="35"/>
      <c r="F43" s="35"/>
      <c r="G43" s="36"/>
    </row>
    <row r="44" ht="15.75" customHeight="1">
      <c r="B44" s="37" t="str">
        <f>CONCATENATE("El Estudiante",B46,C46,E46,F46)</f>
        <v>El Estudiante....</v>
      </c>
      <c r="C44" s="38"/>
      <c r="D44" s="38"/>
      <c r="E44" s="38"/>
      <c r="F44" s="38"/>
      <c r="G44" s="39"/>
    </row>
    <row r="45" ht="15.75" customHeight="1">
      <c r="B45" s="40" t="s">
        <v>35</v>
      </c>
      <c r="C45" s="41" t="s">
        <v>36</v>
      </c>
      <c r="D45" s="39"/>
      <c r="E45" s="42" t="s">
        <v>37</v>
      </c>
      <c r="F45" s="43" t="s">
        <v>38</v>
      </c>
      <c r="G45" s="39"/>
    </row>
    <row r="46" ht="54.75" customHeight="1">
      <c r="A46" s="18"/>
      <c r="B46" s="44" t="s">
        <v>39</v>
      </c>
      <c r="C46" s="45"/>
      <c r="D46" s="39"/>
      <c r="E46" s="46"/>
      <c r="F46" s="47"/>
      <c r="G46" s="39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75" customHeight="1">
      <c r="B47" s="48" t="s">
        <v>40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hyperlinks>
    <hyperlink r:id="rId1" ref="B47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  <col customWidth="1" min="4" max="6" width="12.63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>
        <v>92.0</v>
      </c>
    </row>
    <row r="5" ht="15.75" customHeight="1">
      <c r="B5" s="2" t="s">
        <v>4</v>
      </c>
      <c r="C5" s="5" t="s">
        <v>41</v>
      </c>
    </row>
    <row r="6" ht="15.75" customHeight="1"/>
    <row r="7" ht="15.75" customHeight="1">
      <c r="B7" s="6" t="s">
        <v>6</v>
      </c>
    </row>
    <row r="8" ht="15.75" customHeight="1">
      <c r="B8" s="7" t="s">
        <v>7</v>
      </c>
    </row>
    <row r="9" ht="15.75" customHeight="1"/>
    <row r="10" ht="15.75" customHeight="1">
      <c r="B10" s="8" t="s">
        <v>8</v>
      </c>
    </row>
    <row r="11" ht="15.75" customHeight="1"/>
    <row r="12" ht="15.75" customHeight="1">
      <c r="B12" s="9" t="s">
        <v>9</v>
      </c>
      <c r="C12" s="10"/>
      <c r="D12" s="10"/>
      <c r="E12" s="10"/>
      <c r="F12" s="10"/>
      <c r="G12" s="11"/>
    </row>
    <row r="13" ht="15.75" customHeight="1">
      <c r="B13" s="49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5" ht="15.75" customHeight="1"/>
    <row r="16" ht="33.0" customHeight="1">
      <c r="B16" s="9" t="s">
        <v>11</v>
      </c>
      <c r="C16" s="10"/>
      <c r="D16" s="10"/>
      <c r="E16" s="10"/>
      <c r="F16" s="10"/>
      <c r="G16" s="11"/>
    </row>
    <row r="17" ht="15.75" customHeight="1">
      <c r="B17" s="49"/>
      <c r="C17" s="13"/>
      <c r="D17" s="13"/>
      <c r="E17" s="13"/>
      <c r="F17" s="13"/>
      <c r="G17" s="14"/>
    </row>
    <row r="18" ht="15.75" customHeight="1">
      <c r="B18" s="15"/>
      <c r="C18" s="16"/>
      <c r="D18" s="16"/>
      <c r="E18" s="16"/>
      <c r="F18" s="16"/>
      <c r="G18" s="17"/>
    </row>
    <row r="19" ht="15.75" customHeight="1"/>
    <row r="20" ht="15.75" customHeight="1">
      <c r="B20" s="8" t="s">
        <v>13</v>
      </c>
    </row>
    <row r="21" ht="15.75" customHeight="1">
      <c r="B21" s="7" t="s">
        <v>14</v>
      </c>
    </row>
    <row r="22" ht="15.75" customHeight="1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75" customHeight="1">
      <c r="A23" s="18"/>
      <c r="B23" s="20" t="s">
        <v>15</v>
      </c>
      <c r="C23" s="20" t="s">
        <v>16</v>
      </c>
      <c r="D23" s="20" t="s">
        <v>17</v>
      </c>
      <c r="E23" s="21" t="s">
        <v>18</v>
      </c>
      <c r="F23" s="10"/>
      <c r="G23" s="1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75" customHeight="1">
      <c r="B24" s="22" t="s">
        <v>19</v>
      </c>
      <c r="C24" s="50"/>
      <c r="D24" s="50"/>
      <c r="E24" s="51"/>
      <c r="F24" s="10"/>
      <c r="G24" s="11"/>
    </row>
    <row r="25" ht="45.0" customHeight="1">
      <c r="B25" s="25" t="s">
        <v>21</v>
      </c>
      <c r="C25" s="50"/>
      <c r="D25" s="50"/>
      <c r="E25" s="51"/>
      <c r="F25" s="10"/>
      <c r="G25" s="11"/>
    </row>
    <row r="26" ht="36.75" customHeight="1">
      <c r="B26" s="25" t="s">
        <v>23</v>
      </c>
      <c r="C26" s="50"/>
      <c r="D26" s="50"/>
      <c r="E26" s="51"/>
      <c r="F26" s="10"/>
      <c r="G26" s="11"/>
    </row>
    <row r="27" ht="36.0" customHeight="1">
      <c r="B27" s="26" t="s">
        <v>24</v>
      </c>
      <c r="C27" s="52"/>
      <c r="D27" s="50"/>
      <c r="E27" s="51"/>
      <c r="F27" s="10"/>
      <c r="G27" s="11"/>
    </row>
    <row r="28" ht="15.75" customHeight="1">
      <c r="B28" s="28" t="s">
        <v>26</v>
      </c>
      <c r="C28" s="29">
        <f>SUM(C24:C27)</f>
        <v>0</v>
      </c>
    </row>
    <row r="29" ht="15.75" customHeight="1">
      <c r="B29" s="2"/>
    </row>
    <row r="30" ht="15.75" customHeight="1">
      <c r="B30" s="6" t="s">
        <v>27</v>
      </c>
    </row>
    <row r="31" ht="15.75" customHeight="1">
      <c r="B31" s="7" t="s">
        <v>28</v>
      </c>
    </row>
    <row r="32" ht="15.75" customHeight="1"/>
    <row r="33" ht="15.75" customHeight="1">
      <c r="B33" s="9" t="s">
        <v>29</v>
      </c>
      <c r="C33" s="10"/>
      <c r="D33" s="10"/>
      <c r="E33" s="10"/>
      <c r="F33" s="10"/>
      <c r="G33" s="11"/>
    </row>
    <row r="34" ht="15.75" customHeight="1">
      <c r="B34" s="49"/>
      <c r="C34" s="13"/>
      <c r="D34" s="13"/>
      <c r="E34" s="13"/>
      <c r="F34" s="13"/>
      <c r="G34" s="14"/>
    </row>
    <row r="35" ht="15.75" customHeight="1">
      <c r="B35" s="15"/>
      <c r="C35" s="16"/>
      <c r="D35" s="16"/>
      <c r="E35" s="16"/>
      <c r="F35" s="16"/>
      <c r="G35" s="17"/>
    </row>
    <row r="36" ht="15.75" customHeight="1"/>
    <row r="37" ht="15.75" customHeight="1">
      <c r="B37" s="9" t="s">
        <v>31</v>
      </c>
      <c r="C37" s="10"/>
      <c r="D37" s="10"/>
      <c r="E37" s="10"/>
      <c r="F37" s="10"/>
      <c r="G37" s="11"/>
    </row>
    <row r="38" ht="15.75" customHeight="1">
      <c r="B38" s="49"/>
      <c r="C38" s="13"/>
      <c r="D38" s="13"/>
      <c r="E38" s="13"/>
      <c r="F38" s="13"/>
      <c r="G38" s="14"/>
    </row>
    <row r="39" ht="15.75" customHeight="1">
      <c r="B39" s="15"/>
      <c r="C39" s="16"/>
      <c r="D39" s="16"/>
      <c r="E39" s="16"/>
      <c r="F39" s="16"/>
      <c r="G39" s="17"/>
    </row>
    <row r="40" ht="15.75" customHeight="1"/>
    <row r="41" ht="15.75" customHeight="1">
      <c r="B41" s="30" t="s">
        <v>33</v>
      </c>
      <c r="C41" s="13"/>
      <c r="D41" s="13"/>
      <c r="E41" s="13"/>
      <c r="F41" s="13"/>
      <c r="G41" s="14"/>
    </row>
    <row r="42" ht="15.75" customHeight="1">
      <c r="B42" s="31" t="s">
        <v>34</v>
      </c>
      <c r="C42" s="32"/>
      <c r="D42" s="32"/>
      <c r="E42" s="32"/>
      <c r="F42" s="32"/>
      <c r="G42" s="33"/>
    </row>
    <row r="43" ht="15.75" customHeight="1">
      <c r="B43" s="34"/>
      <c r="C43" s="35"/>
      <c r="D43" s="35"/>
      <c r="E43" s="35"/>
      <c r="F43" s="35"/>
      <c r="G43" s="36"/>
    </row>
    <row r="44" ht="15.75" customHeight="1">
      <c r="B44" s="37" t="str">
        <f>CONCATENATE("El Estudiante",B46,C46,E46,F46)</f>
        <v>El Estudiante....</v>
      </c>
      <c r="C44" s="38"/>
      <c r="D44" s="38"/>
      <c r="E44" s="38"/>
      <c r="F44" s="38"/>
      <c r="G44" s="39"/>
    </row>
    <row r="45" ht="15.75" customHeight="1">
      <c r="B45" s="53" t="s">
        <v>42</v>
      </c>
      <c r="C45" s="54" t="s">
        <v>43</v>
      </c>
      <c r="D45" s="39"/>
      <c r="E45" s="55" t="s">
        <v>44</v>
      </c>
      <c r="F45" s="56" t="s">
        <v>45</v>
      </c>
      <c r="G45" s="39"/>
    </row>
    <row r="46" ht="54.75" customHeight="1">
      <c r="A46" s="18"/>
      <c r="B46" s="44" t="s">
        <v>39</v>
      </c>
      <c r="C46" s="45"/>
      <c r="D46" s="39"/>
      <c r="E46" s="46"/>
      <c r="F46" s="47"/>
      <c r="G46" s="39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75" customHeight="1">
      <c r="B47" s="57" t="s">
        <v>46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  <col customWidth="1" min="4" max="6" width="12.63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>
        <v>92.0</v>
      </c>
    </row>
    <row r="5" ht="15.75" customHeight="1">
      <c r="B5" s="2" t="s">
        <v>4</v>
      </c>
      <c r="C5" s="5" t="s">
        <v>47</v>
      </c>
    </row>
    <row r="6" ht="15.75" customHeight="1"/>
    <row r="7" ht="15.75" customHeight="1">
      <c r="B7" s="6" t="s">
        <v>6</v>
      </c>
    </row>
    <row r="8" ht="15.75" customHeight="1">
      <c r="B8" s="7" t="s">
        <v>7</v>
      </c>
    </row>
    <row r="9" ht="15.75" customHeight="1"/>
    <row r="10" ht="15.75" customHeight="1">
      <c r="B10" s="8" t="s">
        <v>8</v>
      </c>
    </row>
    <row r="11" ht="15.75" customHeight="1"/>
    <row r="12" ht="15.75" customHeight="1">
      <c r="B12" s="9" t="s">
        <v>9</v>
      </c>
      <c r="C12" s="10"/>
      <c r="D12" s="10"/>
      <c r="E12" s="10"/>
      <c r="F12" s="10"/>
      <c r="G12" s="11"/>
    </row>
    <row r="13" ht="15.75" customHeight="1">
      <c r="B13" s="12" t="s">
        <v>48</v>
      </c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5" ht="15.75" customHeight="1"/>
    <row r="16" ht="33.0" customHeight="1">
      <c r="B16" s="9" t="s">
        <v>11</v>
      </c>
      <c r="C16" s="10"/>
      <c r="D16" s="10"/>
      <c r="E16" s="10"/>
      <c r="F16" s="10"/>
      <c r="G16" s="11"/>
    </row>
    <row r="17" ht="15.75" customHeight="1">
      <c r="B17" s="12" t="s">
        <v>49</v>
      </c>
      <c r="C17" s="13"/>
      <c r="D17" s="13"/>
      <c r="E17" s="13"/>
      <c r="F17" s="13"/>
      <c r="G17" s="14"/>
    </row>
    <row r="18" ht="15.75" customHeight="1">
      <c r="B18" s="15"/>
      <c r="C18" s="16"/>
      <c r="D18" s="16"/>
      <c r="E18" s="16"/>
      <c r="F18" s="16"/>
      <c r="G18" s="17"/>
    </row>
    <row r="19" ht="15.75" customHeight="1"/>
    <row r="20" ht="15.75" customHeight="1">
      <c r="B20" s="8" t="s">
        <v>13</v>
      </c>
    </row>
    <row r="21" ht="15.75" customHeight="1">
      <c r="B21" s="7" t="s">
        <v>14</v>
      </c>
    </row>
    <row r="22" ht="15.75" customHeight="1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75" customHeight="1">
      <c r="A23" s="18"/>
      <c r="B23" s="20" t="s">
        <v>15</v>
      </c>
      <c r="C23" s="20" t="s">
        <v>16</v>
      </c>
      <c r="D23" s="20" t="s">
        <v>17</v>
      </c>
      <c r="E23" s="21" t="s">
        <v>18</v>
      </c>
      <c r="F23" s="10"/>
      <c r="G23" s="1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75" customHeight="1">
      <c r="B24" s="22" t="s">
        <v>19</v>
      </c>
      <c r="C24" s="23">
        <v>45.0</v>
      </c>
      <c r="D24" s="23">
        <v>3.0</v>
      </c>
      <c r="E24" s="24" t="s">
        <v>20</v>
      </c>
      <c r="F24" s="10"/>
      <c r="G24" s="11"/>
    </row>
    <row r="25" ht="45.0" customHeight="1">
      <c r="B25" s="25" t="s">
        <v>21</v>
      </c>
      <c r="C25" s="23">
        <v>25.0</v>
      </c>
      <c r="D25" s="23">
        <v>1.0</v>
      </c>
      <c r="E25" s="24" t="s">
        <v>22</v>
      </c>
      <c r="F25" s="10"/>
      <c r="G25" s="11"/>
    </row>
    <row r="26" ht="36.75" customHeight="1">
      <c r="B26" s="25" t="s">
        <v>23</v>
      </c>
      <c r="C26" s="23">
        <v>15.0</v>
      </c>
      <c r="D26" s="23">
        <v>1.0</v>
      </c>
      <c r="E26" s="24" t="s">
        <v>22</v>
      </c>
      <c r="F26" s="10"/>
      <c r="G26" s="11"/>
    </row>
    <row r="27" ht="36.0" customHeight="1">
      <c r="B27" s="26" t="s">
        <v>24</v>
      </c>
      <c r="C27" s="27">
        <v>15.0</v>
      </c>
      <c r="D27" s="23">
        <v>5.0</v>
      </c>
      <c r="E27" s="24" t="s">
        <v>25</v>
      </c>
      <c r="F27" s="10"/>
      <c r="G27" s="11"/>
    </row>
    <row r="28" ht="15.75" customHeight="1">
      <c r="B28" s="28" t="s">
        <v>26</v>
      </c>
      <c r="C28" s="29">
        <f>SUM(C24:C27)</f>
        <v>100</v>
      </c>
    </row>
    <row r="29" ht="15.75" customHeight="1">
      <c r="B29" s="2"/>
    </row>
    <row r="30" ht="15.75" customHeight="1">
      <c r="B30" s="6" t="s">
        <v>27</v>
      </c>
    </row>
    <row r="31" ht="15.75" customHeight="1">
      <c r="B31" s="7" t="s">
        <v>28</v>
      </c>
    </row>
    <row r="32" ht="15.75" customHeight="1"/>
    <row r="33" ht="15.75" customHeight="1">
      <c r="B33" s="9" t="s">
        <v>29</v>
      </c>
      <c r="C33" s="10"/>
      <c r="D33" s="10"/>
      <c r="E33" s="10"/>
      <c r="F33" s="10"/>
      <c r="G33" s="11"/>
    </row>
    <row r="34" ht="15.75" customHeight="1">
      <c r="B34" s="12" t="s">
        <v>50</v>
      </c>
      <c r="C34" s="13"/>
      <c r="D34" s="13"/>
      <c r="E34" s="13"/>
      <c r="F34" s="13"/>
      <c r="G34" s="14"/>
    </row>
    <row r="35" ht="15.75" customHeight="1">
      <c r="B35" s="15"/>
      <c r="C35" s="16"/>
      <c r="D35" s="16"/>
      <c r="E35" s="16"/>
      <c r="F35" s="16"/>
      <c r="G35" s="17"/>
    </row>
    <row r="36" ht="15.75" customHeight="1"/>
    <row r="37" ht="15.75" customHeight="1">
      <c r="B37" s="9" t="s">
        <v>31</v>
      </c>
      <c r="C37" s="10"/>
      <c r="D37" s="10"/>
      <c r="E37" s="10"/>
      <c r="F37" s="10"/>
      <c r="G37" s="11"/>
    </row>
    <row r="38" ht="15.75" customHeight="1">
      <c r="B38" s="12" t="s">
        <v>51</v>
      </c>
      <c r="C38" s="13"/>
      <c r="D38" s="13"/>
      <c r="E38" s="13"/>
      <c r="F38" s="13"/>
      <c r="G38" s="14"/>
    </row>
    <row r="39" ht="15.75" customHeight="1">
      <c r="B39" s="15"/>
      <c r="C39" s="16"/>
      <c r="D39" s="16"/>
      <c r="E39" s="16"/>
      <c r="F39" s="16"/>
      <c r="G39" s="17"/>
    </row>
    <row r="40" ht="15.75" customHeight="1"/>
    <row r="41" ht="15.75" customHeight="1">
      <c r="B41" s="30" t="s">
        <v>33</v>
      </c>
      <c r="C41" s="13"/>
      <c r="D41" s="13"/>
      <c r="E41" s="13"/>
      <c r="F41" s="13"/>
      <c r="G41" s="14"/>
    </row>
    <row r="42" ht="15.75" customHeight="1">
      <c r="B42" s="58" t="s">
        <v>52</v>
      </c>
      <c r="C42" s="32"/>
      <c r="D42" s="32"/>
      <c r="E42" s="32"/>
      <c r="F42" s="32"/>
      <c r="G42" s="33"/>
    </row>
    <row r="43" ht="15.75" customHeight="1">
      <c r="B43" s="34"/>
      <c r="C43" s="35"/>
      <c r="D43" s="35"/>
      <c r="E43" s="35"/>
      <c r="F43" s="35"/>
      <c r="G43" s="36"/>
    </row>
    <row r="44" ht="15.75" customHeight="1">
      <c r="B44" s="37" t="str">
        <f>CONCATENATE("El Estudiante",B46,C46,E46,F46)</f>
        <v>El EstudianteDesarrollaSoluciónes de software funcionalesUtilizando el lenguaje de programacion Visual Basicpara resolver problemas definidos y aplicando buenas practicas de codificación. </v>
      </c>
      <c r="C44" s="38"/>
      <c r="D44" s="38"/>
      <c r="E44" s="38"/>
      <c r="F44" s="38"/>
      <c r="G44" s="39"/>
    </row>
    <row r="45" ht="15.75" customHeight="1">
      <c r="B45" s="53" t="s">
        <v>42</v>
      </c>
      <c r="C45" s="54" t="s">
        <v>43</v>
      </c>
      <c r="D45" s="39"/>
      <c r="E45" s="55" t="s">
        <v>44</v>
      </c>
      <c r="F45" s="56" t="s">
        <v>45</v>
      </c>
      <c r="G45" s="39"/>
    </row>
    <row r="46" ht="54.75" customHeight="1">
      <c r="A46" s="18"/>
      <c r="B46" s="59" t="s">
        <v>35</v>
      </c>
      <c r="C46" s="60" t="s">
        <v>53</v>
      </c>
      <c r="D46" s="39"/>
      <c r="E46" s="61" t="s">
        <v>54</v>
      </c>
      <c r="F46" s="62" t="s">
        <v>55</v>
      </c>
      <c r="G46" s="39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75" customHeight="1">
      <c r="B47" s="57" t="s">
        <v>46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  <col customWidth="1" min="4" max="6" width="12.63"/>
  </cols>
  <sheetData>
    <row r="1" ht="15.75" customHeight="1">
      <c r="A1" s="3"/>
      <c r="B1" s="63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6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65" t="s">
        <v>1</v>
      </c>
      <c r="C3" s="3" t="s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65" t="s">
        <v>3</v>
      </c>
      <c r="C4" s="4">
        <v>92.0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65" t="s">
        <v>4</v>
      </c>
      <c r="C5" s="64" t="s">
        <v>56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66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67" t="s">
        <v>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68" t="s">
        <v>8</v>
      </c>
      <c r="C10" s="3"/>
      <c r="D10" s="3"/>
      <c r="E10" s="3"/>
      <c r="F10" s="3"/>
      <c r="G10" s="3"/>
      <c r="H10" s="3"/>
      <c r="I10" s="69" t="s">
        <v>57</v>
      </c>
      <c r="J10" s="70" t="s">
        <v>58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71" t="s">
        <v>9</v>
      </c>
      <c r="C12" s="13"/>
      <c r="D12" s="13"/>
      <c r="E12" s="13"/>
      <c r="F12" s="13"/>
      <c r="G12" s="1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72" t="s">
        <v>59</v>
      </c>
      <c r="C13" s="73" t="s">
        <v>60</v>
      </c>
      <c r="D13" s="38"/>
      <c r="E13" s="38"/>
      <c r="F13" s="38"/>
      <c r="G13" s="3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9.25" customHeight="1">
      <c r="A14" s="3"/>
      <c r="B14" s="74" t="s">
        <v>61</v>
      </c>
      <c r="C14" s="73" t="s">
        <v>62</v>
      </c>
      <c r="D14" s="38"/>
      <c r="E14" s="38"/>
      <c r="F14" s="38"/>
      <c r="G14" s="7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72" t="s">
        <v>63</v>
      </c>
      <c r="C15" s="73" t="s">
        <v>64</v>
      </c>
      <c r="D15" s="38"/>
      <c r="E15" s="38"/>
      <c r="F15" s="38"/>
      <c r="G15" s="7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3.0" customHeight="1">
      <c r="A16" s="3"/>
      <c r="B16" s="64"/>
      <c r="C16" s="64"/>
      <c r="D16" s="64"/>
      <c r="E16" s="64"/>
      <c r="F16" s="64"/>
      <c r="G16" s="6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76" t="s">
        <v>11</v>
      </c>
      <c r="C17" s="10"/>
      <c r="D17" s="10"/>
      <c r="E17" s="10"/>
      <c r="F17" s="10"/>
      <c r="G17" s="1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72" t="s">
        <v>59</v>
      </c>
      <c r="C18" s="73" t="s">
        <v>65</v>
      </c>
      <c r="D18" s="38"/>
      <c r="E18" s="38"/>
      <c r="F18" s="38"/>
      <c r="G18" s="7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74" t="s">
        <v>66</v>
      </c>
      <c r="C19" s="73" t="s">
        <v>67</v>
      </c>
      <c r="D19" s="38"/>
      <c r="E19" s="38"/>
      <c r="F19" s="38"/>
      <c r="G19" s="7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72" t="s">
        <v>63</v>
      </c>
      <c r="C20" s="73" t="s">
        <v>68</v>
      </c>
      <c r="D20" s="38"/>
      <c r="E20" s="38"/>
      <c r="F20" s="38"/>
      <c r="G20" s="7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64"/>
      <c r="C21" s="77"/>
      <c r="D21" s="64"/>
      <c r="E21" s="64"/>
      <c r="F21" s="64"/>
      <c r="G21" s="6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4"/>
      <c r="B22" s="68" t="s">
        <v>13</v>
      </c>
      <c r="C22" s="77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3"/>
      <c r="Y22" s="3"/>
      <c r="Z22" s="3"/>
    </row>
    <row r="23" ht="15.75" customHeight="1">
      <c r="A23" s="64"/>
      <c r="B23" s="67" t="s">
        <v>14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3"/>
      <c r="Y23" s="3"/>
      <c r="Z23" s="3"/>
    </row>
    <row r="24" ht="15.75" customHeight="1">
      <c r="A24" s="3"/>
      <c r="B24" s="64"/>
      <c r="C24" s="64"/>
      <c r="D24" s="64"/>
      <c r="E24" s="64"/>
      <c r="F24" s="64"/>
      <c r="G24" s="6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5.0" customHeight="1">
      <c r="A25" s="3"/>
      <c r="B25" s="78" t="s">
        <v>15</v>
      </c>
      <c r="C25" s="78" t="s">
        <v>16</v>
      </c>
      <c r="D25" s="78" t="s">
        <v>17</v>
      </c>
      <c r="E25" s="79" t="s">
        <v>18</v>
      </c>
      <c r="F25" s="10"/>
      <c r="G25" s="1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80" t="s">
        <v>19</v>
      </c>
      <c r="C26" s="23">
        <v>45.0</v>
      </c>
      <c r="D26" s="23">
        <v>8.0</v>
      </c>
      <c r="E26" s="81"/>
      <c r="F26" s="10"/>
      <c r="G26" s="1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6.0" customHeight="1">
      <c r="A27" s="3"/>
      <c r="B27" s="82" t="s">
        <v>21</v>
      </c>
      <c r="C27" s="23">
        <v>25.0</v>
      </c>
      <c r="D27" s="23">
        <v>1.0</v>
      </c>
      <c r="E27" s="81"/>
      <c r="F27" s="10"/>
      <c r="G27" s="1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82" t="s">
        <v>23</v>
      </c>
      <c r="C28" s="23">
        <v>15.0</v>
      </c>
      <c r="D28" s="23">
        <v>1.0</v>
      </c>
      <c r="E28" s="83"/>
      <c r="F28" s="10"/>
      <c r="G28" s="1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84" t="s">
        <v>24</v>
      </c>
      <c r="C29" s="27">
        <v>15.0</v>
      </c>
      <c r="D29" s="23">
        <v>5.0</v>
      </c>
      <c r="E29" s="83"/>
      <c r="F29" s="10"/>
      <c r="G29" s="1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85" t="s">
        <v>26</v>
      </c>
      <c r="C30" s="29">
        <f>SUM(C26:C29)</f>
        <v>100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64"/>
      <c r="C31" s="64"/>
      <c r="D31" s="64"/>
      <c r="E31" s="64"/>
      <c r="F31" s="64"/>
      <c r="G31" s="6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86" t="s">
        <v>27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67" t="s">
        <v>28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64"/>
      <c r="C34" s="64"/>
      <c r="D34" s="64"/>
      <c r="E34" s="64"/>
      <c r="F34" s="64"/>
      <c r="G34" s="6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76" t="s">
        <v>29</v>
      </c>
      <c r="C35" s="10"/>
      <c r="D35" s="10"/>
      <c r="E35" s="10"/>
      <c r="F35" s="10"/>
      <c r="G35" s="1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87" t="s">
        <v>69</v>
      </c>
      <c r="C36" s="13"/>
      <c r="D36" s="13"/>
      <c r="E36" s="13"/>
      <c r="F36" s="13"/>
      <c r="G36" s="1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0" customHeight="1">
      <c r="A37" s="3"/>
      <c r="B37" s="15"/>
      <c r="C37" s="16"/>
      <c r="D37" s="16"/>
      <c r="E37" s="16"/>
      <c r="F37" s="16"/>
      <c r="G37" s="1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64"/>
      <c r="C38" s="64"/>
      <c r="D38" s="64"/>
      <c r="E38" s="64"/>
      <c r="F38" s="64"/>
      <c r="G38" s="6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76" t="s">
        <v>31</v>
      </c>
      <c r="C39" s="10"/>
      <c r="D39" s="10"/>
      <c r="E39" s="10"/>
      <c r="F39" s="10"/>
      <c r="G39" s="1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87" t="s">
        <v>70</v>
      </c>
      <c r="C40" s="13"/>
      <c r="D40" s="13"/>
      <c r="E40" s="13"/>
      <c r="F40" s="13"/>
      <c r="G40" s="1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9.25" customHeight="1">
      <c r="A41" s="3"/>
      <c r="B41" s="15"/>
      <c r="C41" s="16"/>
      <c r="D41" s="16"/>
      <c r="E41" s="16"/>
      <c r="F41" s="16"/>
      <c r="G41" s="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64"/>
      <c r="C42" s="64"/>
      <c r="D42" s="64"/>
      <c r="E42" s="64"/>
      <c r="F42" s="64"/>
      <c r="G42" s="6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71" t="s">
        <v>33</v>
      </c>
      <c r="C43" s="13"/>
      <c r="D43" s="13"/>
      <c r="E43" s="13"/>
      <c r="F43" s="13"/>
      <c r="G43" s="1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88" t="s">
        <v>71</v>
      </c>
      <c r="C44" s="32"/>
      <c r="D44" s="32"/>
      <c r="E44" s="32"/>
      <c r="F44" s="32"/>
      <c r="G44" s="3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0.25" customHeight="1">
      <c r="A45" s="3"/>
      <c r="B45" s="34"/>
      <c r="C45" s="35"/>
      <c r="D45" s="35"/>
      <c r="E45" s="35"/>
      <c r="F45" s="35"/>
      <c r="G45" s="3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54.75" customHeight="1">
      <c r="A46" s="64"/>
      <c r="B46" s="89"/>
      <c r="C46" s="38"/>
      <c r="D46" s="38"/>
      <c r="E46" s="38"/>
      <c r="F46" s="38"/>
      <c r="G46" s="39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3"/>
      <c r="Y46" s="3"/>
      <c r="Z46" s="3"/>
    </row>
    <row r="47" ht="15.75" customHeight="1">
      <c r="A47" s="3"/>
      <c r="B47" s="53" t="s">
        <v>42</v>
      </c>
      <c r="C47" s="90" t="s">
        <v>43</v>
      </c>
      <c r="D47" s="39"/>
      <c r="E47" s="91" t="s">
        <v>44</v>
      </c>
      <c r="F47" s="92" t="s">
        <v>45</v>
      </c>
      <c r="G47" s="3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93" t="s">
        <v>39</v>
      </c>
      <c r="C48" s="94"/>
      <c r="D48" s="39"/>
      <c r="E48" s="95"/>
      <c r="F48" s="96"/>
      <c r="G48" s="3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97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mergeCells count="30">
    <mergeCell ref="B1:G1"/>
    <mergeCell ref="C3:G3"/>
    <mergeCell ref="C4:G4"/>
    <mergeCell ref="B8:G8"/>
    <mergeCell ref="B12:G12"/>
    <mergeCell ref="C13:G13"/>
    <mergeCell ref="C14:G14"/>
    <mergeCell ref="C15:G15"/>
    <mergeCell ref="B17:G17"/>
    <mergeCell ref="C18:G18"/>
    <mergeCell ref="C19:G19"/>
    <mergeCell ref="C20:G20"/>
    <mergeCell ref="B23:G23"/>
    <mergeCell ref="E25:G25"/>
    <mergeCell ref="E26:G26"/>
    <mergeCell ref="E27:G27"/>
    <mergeCell ref="E28:G28"/>
    <mergeCell ref="E29:G29"/>
    <mergeCell ref="B33:G33"/>
    <mergeCell ref="B35:G35"/>
    <mergeCell ref="B36:G37"/>
    <mergeCell ref="F47:G47"/>
    <mergeCell ref="F48:G48"/>
    <mergeCell ref="B39:G39"/>
    <mergeCell ref="B40:G41"/>
    <mergeCell ref="B43:G43"/>
    <mergeCell ref="B44:G45"/>
    <mergeCell ref="B46:G46"/>
    <mergeCell ref="C47:D47"/>
    <mergeCell ref="C48:D48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hyperlinks>
    <hyperlink r:id="rId1" ref="J10"/>
    <hyperlink r:id="rId2" ref="B14"/>
    <hyperlink r:id="rId3" ref="B19"/>
  </hyperlinks>
  <drawing r:id="rId4"/>
</worksheet>
</file>